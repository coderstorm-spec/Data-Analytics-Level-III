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cademic Head\Downloads\Data Analytics\"/>
    </mc:Choice>
  </mc:AlternateContent>
  <xr:revisionPtr revIDLastSave="0" documentId="13_ncr:1_{2774FA32-DD66-4916-8B6C-2316CE844E08}" xr6:coauthVersionLast="47" xr6:coauthVersionMax="47" xr10:uidLastSave="{00000000-0000-0000-0000-000000000000}"/>
  <bookViews>
    <workbookView xWindow="-120" yWindow="-120" windowWidth="29040" windowHeight="15840" activeTab="3" xr2:uid="{00000000-000D-0000-FFFF-FFFF00000000}"/>
  </bookViews>
  <sheets>
    <sheet name="Instructions" sheetId="1" r:id="rId1"/>
    <sheet name="Sales Data" sheetId="2" r:id="rId2"/>
    <sheet name="Analysis" sheetId="4" r:id="rId3"/>
    <sheet name="Dashboard" sheetId="3" r:id="rId4"/>
  </sheets>
  <definedNames>
    <definedName name="_xlchart.v1.0" hidden="1">Dashboard!$A$62:$A$73</definedName>
    <definedName name="_xlchart.v1.1" hidden="1">Dashboard!$C$62:$C$73</definedName>
    <definedName name="_xlchart.v1.2" hidden="1">Dashboard!$A$24:$A$35</definedName>
    <definedName name="_xlchart.v1.3" hidden="1">Dashboard!$B$24:$B$35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2" i="3" l="1"/>
  <c r="R32" i="3"/>
  <c r="Q32" i="3"/>
  <c r="P32" i="3"/>
  <c r="N32" i="3"/>
  <c r="M32" i="3"/>
  <c r="L32" i="3"/>
  <c r="K32" i="3"/>
  <c r="I32" i="3"/>
  <c r="H32" i="3"/>
  <c r="G32" i="3"/>
  <c r="F32" i="3"/>
  <c r="P7" i="3"/>
  <c r="F7" i="3"/>
  <c r="A7" i="3"/>
  <c r="C73" i="3"/>
  <c r="C72" i="3"/>
  <c r="C71" i="3"/>
  <c r="C70" i="3"/>
  <c r="C69" i="3"/>
  <c r="C68" i="3"/>
  <c r="C67" i="3"/>
  <c r="C66" i="3"/>
  <c r="C65" i="3"/>
  <c r="C64" i="3"/>
  <c r="C63" i="3"/>
  <c r="C62" i="3"/>
  <c r="B33" i="3"/>
  <c r="B32" i="3"/>
  <c r="B31" i="3"/>
  <c r="B30" i="3"/>
  <c r="B11" i="4"/>
  <c r="B10" i="4"/>
  <c r="B9" i="4"/>
  <c r="B6" i="4"/>
  <c r="B5" i="4"/>
  <c r="B4" i="4"/>
  <c r="K7" i="3" l="1"/>
</calcChain>
</file>

<file path=xl/sharedStrings.xml><?xml version="1.0" encoding="utf-8"?>
<sst xmlns="http://schemas.openxmlformats.org/spreadsheetml/2006/main" count="241" uniqueCount="143">
  <si>
    <t>Day 04 — Activity 3: KPI Dashboard Practice (Video Follow-Along)</t>
  </si>
  <si>
    <t>Data Analytics Level III | Formative Practice (Video Follow-Along)</t>
  </si>
  <si>
    <t>INSTRUCTIONS:</t>
  </si>
  <si>
    <t>This dataset is for the KPI Dashboard video follow-along practice.</t>
  </si>
  <si>
    <t>Watch the recorded video on the LMS and replicate every step below</t>
  </si>
  <si>
    <t>on this dataset (Tita Boba — Milk Tea &amp; Coffee Shop).</t>
  </si>
  <si>
    <t>WHAT YOU WILL BUILD (on the 'Dashboard' sheet):</t>
  </si>
  <si>
    <t>1. KPI SUMMARY</t>
  </si>
  <si>
    <t xml:space="preserve">   • Total Revenue, Average Sale, Number of Transactions</t>
  </si>
  <si>
    <t xml:space="preserve">   • Highest Single Sale, Lowest Single Sale</t>
  </si>
  <si>
    <t>2. CONDITIONAL FORMATTING</t>
  </si>
  <si>
    <t xml:space="preserve">   • Data Bars on a monthly totals table</t>
  </si>
  <si>
    <t xml:space="preserve">   • Color Scales on a category totals table</t>
  </si>
  <si>
    <t xml:space="preserve">   • Icon Sets (e.g., Traffic Lights) somewhere on the dashboard</t>
  </si>
  <si>
    <t>3. CHARTS</t>
  </si>
  <si>
    <t xml:space="preserve">   • Bar chart: Total Sales by Product Category</t>
  </si>
  <si>
    <t xml:space="preserve">   • Line chart: Monthly Sales Trend</t>
  </si>
  <si>
    <t xml:space="preserve">   • (Optional) Sparkline beside the KPI block</t>
  </si>
  <si>
    <t>4. SHORT REFLECTION (2–3 sentences at the bottom of Dashboard sheet)</t>
  </si>
  <si>
    <t>Save as: Day04_DashboardPractice_[YourName].xlsx</t>
  </si>
  <si>
    <t>Upload to LMS before the next session.</t>
  </si>
  <si>
    <t>Tita Boba — Milk Tea &amp; Coffee Shop | 2025 Sales</t>
  </si>
  <si>
    <t>Transaction ID</t>
  </si>
  <si>
    <t>Month</t>
  </si>
  <si>
    <t>Product Category</t>
  </si>
  <si>
    <t>Product Name</t>
  </si>
  <si>
    <t>Units Sold</t>
  </si>
  <si>
    <t>Sales Amount (₱)</t>
  </si>
  <si>
    <t>TXN-001</t>
  </si>
  <si>
    <t>January</t>
  </si>
  <si>
    <t>Milk Tea</t>
  </si>
  <si>
    <t>Classic Milk Tea (24-cup tray)</t>
  </si>
  <si>
    <t>TXN-002</t>
  </si>
  <si>
    <t>Coffee</t>
  </si>
  <si>
    <t>Iced Coffee (12-cup)</t>
  </si>
  <si>
    <t>TXN-003</t>
  </si>
  <si>
    <t>Snacks</t>
  </si>
  <si>
    <t>Cheese Sticks (50 pcs)</t>
  </si>
  <si>
    <t>TXN-004</t>
  </si>
  <si>
    <t>February</t>
  </si>
  <si>
    <t>Valentine's Special (50-cup)</t>
  </si>
  <si>
    <t>TXN-005</t>
  </si>
  <si>
    <t>Add-ons</t>
  </si>
  <si>
    <t>Heart Toppings (200 pcs)</t>
  </si>
  <si>
    <t>TXN-006</t>
  </si>
  <si>
    <t>Couples Set (paired drinks)</t>
  </si>
  <si>
    <t>TXN-007</t>
  </si>
  <si>
    <t>Hot Latte (20-cup)</t>
  </si>
  <si>
    <t>TXN-008</t>
  </si>
  <si>
    <t>March</t>
  </si>
  <si>
    <t>Wintermelon (24-cup)</t>
  </si>
  <si>
    <t>TXN-009</t>
  </si>
  <si>
    <t>Fries (40 orders)</t>
  </si>
  <si>
    <t>TXN-010</t>
  </si>
  <si>
    <t>Iced Americano (15-cup)</t>
  </si>
  <si>
    <t>TXN-011</t>
  </si>
  <si>
    <t>April</t>
  </si>
  <si>
    <t>Mango Float Tea (30-cup)</t>
  </si>
  <si>
    <t>TXN-012</t>
  </si>
  <si>
    <t>Sago Pearls (5kg bag)</t>
  </si>
  <si>
    <t>TXN-013</t>
  </si>
  <si>
    <t>TXN-014</t>
  </si>
  <si>
    <t>May</t>
  </si>
  <si>
    <t>Summer Special (40-cup)</t>
  </si>
  <si>
    <t>TXN-015</t>
  </si>
  <si>
    <t>Summer Festival Catering (event)</t>
  </si>
  <si>
    <t>TXN-016</t>
  </si>
  <si>
    <t>Iced Latte (25-cup)</t>
  </si>
  <si>
    <t>TXN-017</t>
  </si>
  <si>
    <t>Fruit Jellies (large bag)</t>
  </si>
  <si>
    <t>TXN-018</t>
  </si>
  <si>
    <t>June</t>
  </si>
  <si>
    <t>Classic Milk Tea (30-cup)</t>
  </si>
  <si>
    <t>TXN-019</t>
  </si>
  <si>
    <t>Cheese Sticks (60 pcs)</t>
  </si>
  <si>
    <t>TXN-020</t>
  </si>
  <si>
    <t>Iced Coffee (15-cup)</t>
  </si>
  <si>
    <t>TXN-021</t>
  </si>
  <si>
    <t>July</t>
  </si>
  <si>
    <t>Taro Milk Tea (24-cup)</t>
  </si>
  <si>
    <t>TXN-022</t>
  </si>
  <si>
    <t>Donuts (30 pcs)</t>
  </si>
  <si>
    <t>TXN-023</t>
  </si>
  <si>
    <t>Sago Pearls (5kg)</t>
  </si>
  <si>
    <t>TXN-024</t>
  </si>
  <si>
    <t>August</t>
  </si>
  <si>
    <t>Wintermelon (20-cup)</t>
  </si>
  <si>
    <t>TXN-025</t>
  </si>
  <si>
    <t>Hot Latte (15-cup)</t>
  </si>
  <si>
    <t>TXN-026</t>
  </si>
  <si>
    <t>Cheese Sticks (40 pcs)</t>
  </si>
  <si>
    <t>TXN-027</t>
  </si>
  <si>
    <t>September</t>
  </si>
  <si>
    <t>Brown Sugar Pearl (25-cup)</t>
  </si>
  <si>
    <t>TXN-028</t>
  </si>
  <si>
    <t>Iced Americano (12-cup)</t>
  </si>
  <si>
    <t>TXN-029</t>
  </si>
  <si>
    <t>Coffee Jelly (3kg)</t>
  </si>
  <si>
    <t>TXN-030</t>
  </si>
  <si>
    <t>October</t>
  </si>
  <si>
    <t>Halloween Special (35-cup)</t>
  </si>
  <si>
    <t>TXN-031</t>
  </si>
  <si>
    <t>Halloween Cookies (50 pcs)</t>
  </si>
  <si>
    <t>TXN-032</t>
  </si>
  <si>
    <t>Pumpkin Spice Latte (15-cup)</t>
  </si>
  <si>
    <t>TXN-033</t>
  </si>
  <si>
    <t>November</t>
  </si>
  <si>
    <t>TXN-034</t>
  </si>
  <si>
    <t>Iced Latte (20-cup)</t>
  </si>
  <si>
    <t>TXN-035</t>
  </si>
  <si>
    <t>TXN-036</t>
  </si>
  <si>
    <t>December</t>
  </si>
  <si>
    <t>Christmas Bundle (50-cup)</t>
  </si>
  <si>
    <t>TXN-037</t>
  </si>
  <si>
    <t>Christmas Cookies (60 pcs)</t>
  </si>
  <si>
    <t>TXN-038</t>
  </si>
  <si>
    <t>Hot Chocolate (30-cup)</t>
  </si>
  <si>
    <t>TXN-039</t>
  </si>
  <si>
    <t>Festive Toppings (large bag)</t>
  </si>
  <si>
    <t>TXN-040</t>
  </si>
  <si>
    <t>New Year Bundle (40-cup)</t>
  </si>
  <si>
    <t>Build your KPI summary, conditional formatting, and charts here while following the video.</t>
  </si>
  <si>
    <t>STATISTICAL ANALYSIS</t>
  </si>
  <si>
    <t>Mean (Average Sales)</t>
  </si>
  <si>
    <t>Sales</t>
  </si>
  <si>
    <t>Mean (Average Unit Sold)</t>
  </si>
  <si>
    <t>Median (Middle Sales)</t>
  </si>
  <si>
    <t>Mode (Most Common Sales)</t>
  </si>
  <si>
    <t>Median (Middle Unit Sold)</t>
  </si>
  <si>
    <t>Mode (Most Common Unit Sold)</t>
  </si>
  <si>
    <t>Total Sales by Product Category</t>
  </si>
  <si>
    <t>Monthly Sales Trend</t>
  </si>
  <si>
    <t>DASHBOARD</t>
  </si>
  <si>
    <t>Total Revenue</t>
  </si>
  <si>
    <t>Average Sale Amount</t>
  </si>
  <si>
    <t>Top-Selling Category</t>
  </si>
  <si>
    <t>KPI Summary</t>
  </si>
  <si>
    <t>Charts</t>
  </si>
  <si>
    <t>Number of Transactions</t>
  </si>
  <si>
    <t>Conditional Formatting</t>
  </si>
  <si>
    <t>Sales show strong peaks during February (₱16,400), May (₱30,300), and December (₱21,500), driven by seasonal promotions and event bundles. The trend suggests that themed or seasonal offerings significantly boost revenue, while months like August and September are relatively weaker. Milk Tea dominates with consistent high-value transactions and special bundles. Coffee contributes moderately, performing best in colder months. Snacks  and Add-ons act as supporting categories, often bundled with drinks. Mean is higher than the Median, this indicates that while most transactions are modest (₱2,000–₱3,000 range), a few large catering/event sales (like May’s ₱20,000 Summer Festival) skew the average upward. The median better reflects a typical transaction size for everyday sales. The shop thrives on seasonal promotions and event bundles, which create revenue spikes. Milk Tea is the clear leader, both in volume and profitability, making it the backbone of the business. Coffee and snacks provide steady but smaller contributions, while add-ons enhance upselling opportunities. The difference between mean and median shows that while big events are lucrative, the day-to-day business relies on smaller, consistent sales. To sustain growth, focusing on seasonal creativity and upselling bundles will likely continue driving strong results.</t>
  </si>
  <si>
    <t>Executive Summary</t>
  </si>
  <si>
    <t>Monthly Sales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</si>
</sst>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0.00;\-&quot;₱&quot;#,##0.00"/>
    <numFmt numFmtId="43" formatCode="_-* #,##0.00_-;\-* #,##0.00_-;_-* &quot;-&quot;??_-;_-@_-"/>
  </numFmts>
  <fonts count="23">
    <font>
      <sz val="11"/>
      <color theme="1"/>
      <name val="Calibri"/>
      <family val="2"/>
      <scheme val="minor"/>
    </font>
    <font>
      <b/>
      <sz val="16"/>
      <color rgb="FF1B3A5C"/>
      <name val="Calibri"/>
    </font>
    <font>
      <sz val="12"/>
      <color rgb="FF2E75B6"/>
      <name val="Calibri"/>
    </font>
    <font>
      <sz val="11"/>
      <name val="Calibri"/>
    </font>
    <font>
      <b/>
      <sz val="11"/>
      <name val="Calibri"/>
    </font>
    <font>
      <b/>
      <sz val="14"/>
      <color rgb="FF1B3A5C"/>
      <name val="Calibri"/>
    </font>
    <font>
      <b/>
      <sz val="11"/>
      <color rgb="FFFFFFFF"/>
      <name val="Calibri"/>
    </font>
    <font>
      <i/>
      <sz val="10"/>
      <name val="Calibri"/>
    </font>
    <font>
      <sz val="11"/>
      <color theme="1"/>
      <name val="Calibri"/>
      <family val="2"/>
      <scheme val="minor"/>
    </font>
    <font>
      <b/>
      <sz val="15"/>
      <color theme="3"/>
      <name val="Calibri"/>
      <family val="2"/>
      <scheme val="minor"/>
    </font>
    <font>
      <b/>
      <sz val="13"/>
      <color theme="3"/>
      <name val="Calibri"/>
      <family val="2"/>
      <scheme val="minor"/>
    </font>
    <font>
      <sz val="11"/>
      <color rgb="FF006100"/>
      <name val="Calibri"/>
      <family val="2"/>
      <scheme val="minor"/>
    </font>
    <font>
      <sz val="11"/>
      <color rgb="FF9C570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8"/>
      <name val="Calibri"/>
      <family val="2"/>
      <scheme val="minor"/>
    </font>
    <font>
      <b/>
      <sz val="22"/>
      <color theme="3"/>
      <name val="Calibri"/>
      <family val="2"/>
      <scheme val="minor"/>
    </font>
    <font>
      <sz val="12"/>
      <color theme="1"/>
      <name val="Calibri"/>
      <family val="2"/>
      <scheme val="minor"/>
    </font>
    <font>
      <b/>
      <sz val="14"/>
      <name val="Calibri"/>
      <family val="2"/>
      <scheme val="minor"/>
    </font>
    <font>
      <b/>
      <sz val="15"/>
      <color theme="0"/>
      <name val="Calibri"/>
      <family val="2"/>
      <scheme val="minor"/>
    </font>
    <font>
      <i/>
      <sz val="11"/>
      <color theme="1"/>
      <name val="Calibri"/>
      <family val="2"/>
      <scheme val="minor"/>
    </font>
    <font>
      <b/>
      <i/>
      <sz val="11"/>
      <color theme="1"/>
      <name val="Calibri"/>
      <family val="2"/>
      <scheme val="minor"/>
    </font>
  </fonts>
  <fills count="12">
    <fill>
      <patternFill patternType="none"/>
    </fill>
    <fill>
      <patternFill patternType="gray125"/>
    </fill>
    <fill>
      <patternFill patternType="solid">
        <fgColor rgb="FF2E75B6"/>
      </patternFill>
    </fill>
    <fill>
      <patternFill patternType="solid">
        <fgColor rgb="FFD6E4F0"/>
      </patternFill>
    </fill>
    <fill>
      <patternFill patternType="solid">
        <fgColor rgb="FFC6EFCE"/>
      </patternFill>
    </fill>
    <fill>
      <patternFill patternType="solid">
        <fgColor rgb="FFFFEB9C"/>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3"/>
        <bgColor indexed="64"/>
      </patternFill>
    </fill>
    <fill>
      <patternFill patternType="solid">
        <fgColor theme="6" tint="0.79998168889431442"/>
        <bgColor indexed="64"/>
      </patternFill>
    </fill>
    <fill>
      <patternFill patternType="solid">
        <fgColor theme="8" tint="0.79998168889431442"/>
        <bgColor indexed="64"/>
      </patternFill>
    </fill>
  </fills>
  <borders count="14">
    <border>
      <left/>
      <right/>
      <top/>
      <bottom/>
      <diagonal/>
    </border>
    <border>
      <left style="thin">
        <color rgb="FFB0B0B0"/>
      </left>
      <right style="thin">
        <color rgb="FFB0B0B0"/>
      </right>
      <top style="thin">
        <color rgb="FFB0B0B0"/>
      </top>
      <bottom style="thin">
        <color rgb="FFB0B0B0"/>
      </bottom>
      <diagonal/>
    </border>
    <border>
      <left/>
      <right/>
      <top/>
      <bottom style="thick">
        <color theme="4"/>
      </bottom>
      <diagonal/>
    </border>
    <border>
      <left/>
      <right/>
      <top/>
      <bottom style="thick">
        <color theme="4" tint="0.499984740745262"/>
      </bottom>
      <diagonal/>
    </border>
    <border>
      <left/>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s>
  <cellStyleXfs count="6">
    <xf numFmtId="0" fontId="0" fillId="0" borderId="0"/>
    <xf numFmtId="43" fontId="8" fillId="0" borderId="0" applyFon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4" borderId="0" applyNumberFormat="0" applyBorder="0" applyAlignment="0" applyProtection="0"/>
    <xf numFmtId="0" fontId="12" fillId="5" borderId="0" applyNumberFormat="0" applyBorder="0" applyAlignment="0" applyProtection="0"/>
  </cellStyleXfs>
  <cellXfs count="63">
    <xf numFmtId="0" fontId="0" fillId="0" borderId="0" xfId="0"/>
    <xf numFmtId="0" fontId="3" fillId="0" borderId="0" xfId="0" applyFont="1"/>
    <xf numFmtId="0" fontId="4" fillId="0" borderId="0" xfId="0" applyFont="1"/>
    <xf numFmtId="0" fontId="6" fillId="2" borderId="1" xfId="0" applyFont="1" applyFill="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3" fillId="3" borderId="1" xfId="0" applyFont="1" applyFill="1" applyBorder="1" applyAlignment="1">
      <alignment horizontal="center" vertical="center"/>
    </xf>
    <xf numFmtId="3" fontId="3" fillId="3" borderId="1" xfId="0" applyNumberFormat="1" applyFont="1" applyFill="1" applyBorder="1" applyAlignment="1">
      <alignment horizontal="center" vertical="center"/>
    </xf>
    <xf numFmtId="0" fontId="7" fillId="0" borderId="0" xfId="0" applyFont="1"/>
    <xf numFmtId="0" fontId="2" fillId="0" borderId="0" xfId="0" applyFont="1"/>
    <xf numFmtId="0" fontId="0" fillId="0" borderId="0" xfId="0"/>
    <xf numFmtId="0" fontId="1" fillId="0" borderId="0" xfId="0" applyFont="1"/>
    <xf numFmtId="0" fontId="5" fillId="0" borderId="0" xfId="0" applyFont="1"/>
    <xf numFmtId="0" fontId="13" fillId="0" borderId="0" xfId="0" applyFont="1"/>
    <xf numFmtId="0" fontId="15" fillId="0" borderId="0" xfId="0" applyFont="1"/>
    <xf numFmtId="3" fontId="0" fillId="0" borderId="0" xfId="0" applyNumberFormat="1"/>
    <xf numFmtId="43" fontId="0" fillId="0" borderId="0" xfId="1" applyFont="1"/>
    <xf numFmtId="7" fontId="17" fillId="6" borderId="0" xfId="3" applyNumberFormat="1" applyFont="1" applyFill="1" applyBorder="1" applyAlignment="1">
      <alignment horizontal="center"/>
    </xf>
    <xf numFmtId="7" fontId="17" fillId="7" borderId="0" xfId="3" applyNumberFormat="1" applyFont="1" applyFill="1" applyBorder="1" applyAlignment="1">
      <alignment horizontal="center"/>
    </xf>
    <xf numFmtId="0" fontId="0" fillId="0" borderId="4" xfId="0" applyBorder="1"/>
    <xf numFmtId="0" fontId="15" fillId="6" borderId="5" xfId="0" applyFont="1" applyFill="1" applyBorder="1" applyAlignment="1">
      <alignment horizontal="center"/>
    </xf>
    <xf numFmtId="0" fontId="15" fillId="6" borderId="4" xfId="0" applyFont="1" applyFill="1" applyBorder="1" applyAlignment="1">
      <alignment horizontal="center"/>
    </xf>
    <xf numFmtId="7" fontId="17" fillId="6" borderId="7" xfId="3" applyNumberFormat="1" applyFont="1" applyFill="1" applyBorder="1" applyAlignment="1">
      <alignment horizontal="center"/>
    </xf>
    <xf numFmtId="0" fontId="0" fillId="6" borderId="9" xfId="0" applyFill="1" applyBorder="1"/>
    <xf numFmtId="0" fontId="0" fillId="6" borderId="10" xfId="0" applyFill="1" applyBorder="1"/>
    <xf numFmtId="0" fontId="15" fillId="7" borderId="5" xfId="0" applyFont="1" applyFill="1" applyBorder="1" applyAlignment="1">
      <alignment horizontal="center"/>
    </xf>
    <xf numFmtId="0" fontId="15" fillId="7" borderId="4" xfId="0" applyFont="1" applyFill="1" applyBorder="1" applyAlignment="1">
      <alignment horizontal="center"/>
    </xf>
    <xf numFmtId="7" fontId="17" fillId="7" borderId="7" xfId="3" applyNumberFormat="1" applyFont="1" applyFill="1" applyBorder="1" applyAlignment="1">
      <alignment horizontal="center"/>
    </xf>
    <xf numFmtId="0" fontId="0" fillId="7" borderId="9" xfId="0" applyFill="1" applyBorder="1"/>
    <xf numFmtId="0" fontId="0" fillId="7" borderId="10" xfId="0" applyFill="1" applyBorder="1"/>
    <xf numFmtId="0" fontId="9" fillId="0" borderId="0" xfId="2" applyFill="1" applyBorder="1" applyAlignment="1">
      <alignment horizontal="center"/>
    </xf>
    <xf numFmtId="0" fontId="0" fillId="8" borderId="10" xfId="0" applyFill="1" applyBorder="1"/>
    <xf numFmtId="0" fontId="20" fillId="9" borderId="12" xfId="2" applyFont="1" applyFill="1" applyBorder="1" applyAlignment="1">
      <alignment horizontal="center"/>
    </xf>
    <xf numFmtId="0" fontId="20" fillId="9" borderId="13" xfId="2" applyFont="1" applyFill="1" applyBorder="1" applyAlignment="1">
      <alignment horizontal="center"/>
    </xf>
    <xf numFmtId="0" fontId="20" fillId="9" borderId="0" xfId="2" applyFont="1" applyFill="1" applyBorder="1" applyAlignment="1">
      <alignment horizontal="center"/>
    </xf>
    <xf numFmtId="0" fontId="15" fillId="8" borderId="4" xfId="0" applyFont="1" applyFill="1" applyBorder="1" applyAlignment="1">
      <alignment horizontal="center"/>
    </xf>
    <xf numFmtId="0" fontId="17" fillId="8" borderId="0" xfId="3" applyNumberFormat="1" applyFont="1" applyFill="1" applyBorder="1" applyAlignment="1">
      <alignment horizontal="center"/>
    </xf>
    <xf numFmtId="4" fontId="9" fillId="4" borderId="0" xfId="2" applyNumberFormat="1" applyFill="1" applyBorder="1" applyAlignment="1">
      <alignment horizontal="center"/>
    </xf>
    <xf numFmtId="0" fontId="19" fillId="4" borderId="5" xfId="4" applyFont="1" applyBorder="1" applyAlignment="1">
      <alignment horizontal="center"/>
    </xf>
    <xf numFmtId="0" fontId="19" fillId="4" borderId="4" xfId="4" applyFont="1" applyBorder="1" applyAlignment="1">
      <alignment horizontal="center"/>
    </xf>
    <xf numFmtId="0" fontId="19" fillId="4" borderId="6" xfId="4" applyFont="1" applyBorder="1" applyAlignment="1">
      <alignment horizontal="center"/>
    </xf>
    <xf numFmtId="4" fontId="9" fillId="4" borderId="7" xfId="2" applyNumberFormat="1" applyFill="1" applyBorder="1" applyAlignment="1">
      <alignment horizontal="center"/>
    </xf>
    <xf numFmtId="4" fontId="9" fillId="4" borderId="8" xfId="2" applyNumberFormat="1" applyFill="1" applyBorder="1" applyAlignment="1">
      <alignment horizontal="center"/>
    </xf>
    <xf numFmtId="0" fontId="11" fillId="4" borderId="9" xfId="4" applyBorder="1" applyAlignment="1">
      <alignment horizontal="center"/>
    </xf>
    <xf numFmtId="0" fontId="11" fillId="4" borderId="10" xfId="4" applyBorder="1" applyAlignment="1">
      <alignment horizontal="center"/>
    </xf>
    <xf numFmtId="0" fontId="11" fillId="4" borderId="11" xfId="4" applyBorder="1" applyAlignment="1">
      <alignment horizontal="center"/>
    </xf>
    <xf numFmtId="0" fontId="15" fillId="8" borderId="5" xfId="0" applyFont="1" applyFill="1" applyBorder="1" applyAlignment="1">
      <alignment horizontal="center"/>
    </xf>
    <xf numFmtId="0" fontId="15" fillId="8" borderId="6" xfId="0" applyFont="1" applyFill="1" applyBorder="1" applyAlignment="1">
      <alignment horizontal="center"/>
    </xf>
    <xf numFmtId="0" fontId="17" fillId="8" borderId="7" xfId="3" applyNumberFormat="1" applyFont="1" applyFill="1" applyBorder="1" applyAlignment="1">
      <alignment horizontal="center"/>
    </xf>
    <xf numFmtId="0" fontId="17" fillId="8" borderId="8" xfId="3" applyNumberFormat="1" applyFont="1" applyFill="1" applyBorder="1" applyAlignment="1">
      <alignment horizontal="center"/>
    </xf>
    <xf numFmtId="0" fontId="0" fillId="8" borderId="9" xfId="0" applyFill="1" applyBorder="1"/>
    <xf numFmtId="0" fontId="0" fillId="8" borderId="11" xfId="0" applyFill="1" applyBorder="1"/>
    <xf numFmtId="0" fontId="18" fillId="5" borderId="0" xfId="5" applyFont="1" applyAlignment="1">
      <alignment horizontal="left" vertical="top" wrapText="1"/>
    </xf>
    <xf numFmtId="0" fontId="13" fillId="10" borderId="0" xfId="0" applyFont="1" applyFill="1"/>
    <xf numFmtId="0" fontId="0" fillId="10" borderId="0" xfId="0" applyFill="1"/>
    <xf numFmtId="0" fontId="21" fillId="10" borderId="0" xfId="0" applyFont="1" applyFill="1"/>
    <xf numFmtId="43" fontId="0" fillId="10" borderId="0" xfId="1" applyFont="1" applyFill="1"/>
    <xf numFmtId="0" fontId="14" fillId="10" borderId="0" xfId="0" applyFont="1" applyFill="1"/>
    <xf numFmtId="0" fontId="22" fillId="10" borderId="0" xfId="0" applyFont="1" applyFill="1"/>
    <xf numFmtId="3" fontId="0" fillId="10" borderId="0" xfId="0" applyNumberFormat="1" applyFill="1"/>
    <xf numFmtId="0" fontId="14" fillId="11" borderId="0" xfId="0" applyFont="1" applyFill="1"/>
    <xf numFmtId="0" fontId="0" fillId="11" borderId="0" xfId="0" applyFill="1"/>
    <xf numFmtId="3" fontId="0" fillId="11" borderId="0" xfId="0" applyNumberFormat="1" applyFill="1"/>
  </cellXfs>
  <cellStyles count="6">
    <cellStyle name="Comma" xfId="1" builtinId="3"/>
    <cellStyle name="Good" xfId="4" builtinId="26"/>
    <cellStyle name="Heading 1" xfId="2" builtinId="16"/>
    <cellStyle name="Heading 2" xfId="3" builtinId="17"/>
    <cellStyle name="Neutral" xfId="5"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PH"/>
              <a:t>Total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Dashboard!$A$30:$A$33</c:f>
              <c:strCache>
                <c:ptCount val="4"/>
                <c:pt idx="0">
                  <c:v>Milk Tea</c:v>
                </c:pt>
                <c:pt idx="1">
                  <c:v>Coffee</c:v>
                </c:pt>
                <c:pt idx="2">
                  <c:v>Snacks</c:v>
                </c:pt>
                <c:pt idx="3">
                  <c:v>Add-ons</c:v>
                </c:pt>
              </c:strCache>
            </c:strRef>
          </c:cat>
          <c:val>
            <c:numRef>
              <c:f>Dashboard!$B$30:$B$33</c:f>
              <c:numCache>
                <c:formatCode>_(* #,##0.00_);_(* \(#,##0.00\);_(* "-"??_);_(@_)</c:formatCode>
                <c:ptCount val="4"/>
                <c:pt idx="0">
                  <c:v>78470</c:v>
                </c:pt>
                <c:pt idx="1">
                  <c:v>22770</c:v>
                </c:pt>
                <c:pt idx="2">
                  <c:v>15700</c:v>
                </c:pt>
                <c:pt idx="3">
                  <c:v>8850</c:v>
                </c:pt>
              </c:numCache>
            </c:numRef>
          </c:val>
          <c:extLst>
            <c:ext xmlns:c16="http://schemas.microsoft.com/office/drawing/2014/chart" uri="{C3380CC4-5D6E-409C-BE32-E72D297353CC}">
              <c16:uniqueId val="{00000000-A00D-4019-BE10-67C98E3B62BF}"/>
            </c:ext>
          </c:extLst>
        </c:ser>
        <c:dLbls>
          <c:showLegendKey val="0"/>
          <c:showVal val="0"/>
          <c:showCatName val="0"/>
          <c:showSerName val="0"/>
          <c:showPercent val="0"/>
          <c:showBubbleSize val="0"/>
        </c:dLbls>
        <c:gapWidth val="219"/>
        <c:overlap val="-27"/>
        <c:axId val="1928600144"/>
        <c:axId val="1928607824"/>
      </c:barChart>
      <c:catAx>
        <c:axId val="192860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28607824"/>
        <c:crosses val="autoZero"/>
        <c:auto val="1"/>
        <c:lblAlgn val="ctr"/>
        <c:lblOffset val="100"/>
        <c:noMultiLvlLbl val="0"/>
      </c:catAx>
      <c:valAx>
        <c:axId val="192860782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286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PH"/>
              <a:t>Monthly Sales Trend</a:t>
            </a:r>
          </a:p>
        </c:rich>
      </c:tx>
      <c:layout>
        <c:manualLayout>
          <c:xMode val="edge"/>
          <c:yMode val="edge"/>
          <c:x val="0.3289374453193351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Dashboard!$A$62:$A$73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Dashboard!$C$62:$C$73</c:f>
              <c:numCache>
                <c:formatCode>_(* #,##0.00_);_(* \(#,##0.00\);_(* "-"??_);_(@_)</c:formatCode>
                <c:ptCount val="12"/>
                <c:pt idx="0">
                  <c:v>5220</c:v>
                </c:pt>
                <c:pt idx="1">
                  <c:v>16400</c:v>
                </c:pt>
                <c:pt idx="2">
                  <c:v>6140</c:v>
                </c:pt>
                <c:pt idx="3">
                  <c:v>6650</c:v>
                </c:pt>
                <c:pt idx="4">
                  <c:v>30300</c:v>
                </c:pt>
                <c:pt idx="5">
                  <c:v>6450</c:v>
                </c:pt>
                <c:pt idx="6">
                  <c:v>5630</c:v>
                </c:pt>
                <c:pt idx="7">
                  <c:v>5200</c:v>
                </c:pt>
                <c:pt idx="8">
                  <c:v>5700</c:v>
                </c:pt>
                <c:pt idx="9">
                  <c:v>9000</c:v>
                </c:pt>
                <c:pt idx="10">
                  <c:v>7600</c:v>
                </c:pt>
                <c:pt idx="11">
                  <c:v>21500</c:v>
                </c:pt>
              </c:numCache>
            </c:numRef>
          </c:val>
          <c:smooth val="0"/>
          <c:extLst>
            <c:ext xmlns:c16="http://schemas.microsoft.com/office/drawing/2014/chart" uri="{C3380CC4-5D6E-409C-BE32-E72D297353CC}">
              <c16:uniqueId val="{00000000-5D9F-46C4-AE59-BD20B6CFD286}"/>
            </c:ext>
          </c:extLst>
        </c:ser>
        <c:dLbls>
          <c:showLegendKey val="0"/>
          <c:showVal val="0"/>
          <c:showCatName val="0"/>
          <c:showSerName val="0"/>
          <c:showPercent val="0"/>
          <c:showBubbleSize val="0"/>
        </c:dLbls>
        <c:marker val="1"/>
        <c:smooth val="0"/>
        <c:axId val="246494384"/>
        <c:axId val="246489584"/>
      </c:lineChart>
      <c:catAx>
        <c:axId val="24649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6489584"/>
        <c:crosses val="autoZero"/>
        <c:auto val="1"/>
        <c:lblAlgn val="ctr"/>
        <c:lblOffset val="100"/>
        <c:noMultiLvlLbl val="0"/>
      </c:catAx>
      <c:valAx>
        <c:axId val="24648958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649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Distribution of Sales Amount Values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Distribution of Sales Amount Values</a:t>
          </a:r>
        </a:p>
      </cx:txPr>
    </cx:title>
    <cx:plotArea>
      <cx:plotAreaRegion>
        <cx:series layoutId="clusteredColumn" uniqueId="{39E7663A-F46D-480E-AAF2-BE17BA5FCD3E}">
          <cx:dataId val="0"/>
          <cx:layoutPr>
            <cx:aggregation/>
          </cx:layoutPr>
          <cx:axisId val="1"/>
        </cx:series>
        <cx:series layoutId="paretoLine" ownerIdx="0" uniqueId="{DF98C3F3-DB9F-414B-AFF9-A12FF0A68942}">
          <cx:axisId val="2"/>
        </cx:series>
      </cx:plotAreaRegion>
      <cx:axis id="0">
        <cx:catScaling gapWidth="0"/>
        <cx:tickLabels/>
      </cx:axis>
      <cx:axis id="1">
        <cx:valScaling/>
        <cx:majorGridlines/>
        <cx:tickLabels/>
      </cx:axis>
      <cx:axis id="2">
        <cx:valScaling max="1" min="0"/>
        <cx:units unit="percentage"/>
        <cx:tickLabels/>
      </cx:axis>
    </cx:plotArea>
  </cx:chart>
  <cx:spPr>
    <a:solidFill>
      <a:schemeClr val="lt1"/>
    </a:solidFill>
    <a:ln w="25400" cap="flat" cmpd="sng" algn="ctr">
      <a:solidFill>
        <a:schemeClr val="dk1"/>
      </a:solidFill>
      <a:prstDash val="solid"/>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285749</xdr:colOff>
      <xdr:row>11</xdr:row>
      <xdr:rowOff>100012</xdr:rowOff>
    </xdr:from>
    <xdr:to>
      <xdr:col>12</xdr:col>
      <xdr:colOff>514349</xdr:colOff>
      <xdr:row>26</xdr:row>
      <xdr:rowOff>42862</xdr:rowOff>
    </xdr:to>
    <xdr:graphicFrame macro="">
      <xdr:nvGraphicFramePr>
        <xdr:cNvPr id="2" name="Chart 1">
          <a:extLst>
            <a:ext uri="{FF2B5EF4-FFF2-40B4-BE49-F238E27FC236}">
              <a16:creationId xmlns:a16="http://schemas.microsoft.com/office/drawing/2014/main" id="{FC65807D-FD06-B307-F557-B0D6F924B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19048</xdr:colOff>
      <xdr:row>11</xdr:row>
      <xdr:rowOff>100012</xdr:rowOff>
    </xdr:from>
    <xdr:to>
      <xdr:col>6</xdr:col>
      <xdr:colOff>228599</xdr:colOff>
      <xdr:row>26</xdr:row>
      <xdr:rowOff>42862</xdr:rowOff>
    </xdr:to>
    <xdr:graphicFrame macro="">
      <xdr:nvGraphicFramePr>
        <xdr:cNvPr id="3" name="Chart 2">
          <a:extLst>
            <a:ext uri="{FF2B5EF4-FFF2-40B4-BE49-F238E27FC236}">
              <a16:creationId xmlns:a16="http://schemas.microsoft.com/office/drawing/2014/main" id="{09D3A9CD-52A0-57EA-B50A-145E15CF0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571500</xdr:colOff>
      <xdr:row>11</xdr:row>
      <xdr:rowOff>100012</xdr:rowOff>
    </xdr:from>
    <xdr:to>
      <xdr:col>18</xdr:col>
      <xdr:colOff>810037</xdr:colOff>
      <xdr:row>26</xdr:row>
      <xdr:rowOff>42862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A19FF77-D93A-A43E-ACF2-5990415DF9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924925" y="2176462"/>
              <a:ext cx="4420012" cy="274320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workbookViewId="0">
      <selection sqref="A1:F1"/>
    </sheetView>
  </sheetViews>
  <sheetFormatPr defaultRowHeight="15"/>
  <cols>
    <col min="1" max="1" width="80" customWidth="1"/>
  </cols>
  <sheetData>
    <row r="1" spans="1:6" ht="21">
      <c r="A1" s="11" t="s">
        <v>0</v>
      </c>
      <c r="B1" s="10"/>
      <c r="C1" s="10"/>
      <c r="D1" s="10"/>
      <c r="E1" s="10"/>
      <c r="F1" s="10"/>
    </row>
    <row r="2" spans="1:6" ht="15.75">
      <c r="A2" s="9" t="s">
        <v>1</v>
      </c>
      <c r="B2" s="10"/>
      <c r="C2" s="10"/>
      <c r="D2" s="10"/>
      <c r="E2" s="10"/>
      <c r="F2" s="10"/>
    </row>
    <row r="4" spans="1:6">
      <c r="A4" s="1"/>
    </row>
    <row r="5" spans="1:6">
      <c r="A5" s="2" t="s">
        <v>2</v>
      </c>
    </row>
    <row r="6" spans="1:6">
      <c r="A6" s="1"/>
    </row>
    <row r="7" spans="1:6">
      <c r="A7" s="1" t="s">
        <v>3</v>
      </c>
    </row>
    <row r="8" spans="1:6">
      <c r="A8" s="1" t="s">
        <v>4</v>
      </c>
    </row>
    <row r="9" spans="1:6">
      <c r="A9" s="1" t="s">
        <v>5</v>
      </c>
    </row>
    <row r="10" spans="1:6">
      <c r="A10" s="1"/>
    </row>
    <row r="11" spans="1:6">
      <c r="A11" s="2" t="s">
        <v>6</v>
      </c>
    </row>
    <row r="12" spans="1:6">
      <c r="A12" s="1"/>
    </row>
    <row r="13" spans="1:6">
      <c r="A13" s="2" t="s">
        <v>7</v>
      </c>
    </row>
    <row r="14" spans="1:6">
      <c r="A14" s="1" t="s">
        <v>8</v>
      </c>
    </row>
    <row r="15" spans="1:6">
      <c r="A15" s="1" t="s">
        <v>9</v>
      </c>
    </row>
    <row r="16" spans="1:6">
      <c r="A16" s="1"/>
    </row>
    <row r="17" spans="1:1">
      <c r="A17" s="2" t="s">
        <v>10</v>
      </c>
    </row>
    <row r="18" spans="1:1">
      <c r="A18" s="1" t="s">
        <v>11</v>
      </c>
    </row>
    <row r="19" spans="1:1">
      <c r="A19" s="1" t="s">
        <v>12</v>
      </c>
    </row>
    <row r="20" spans="1:1">
      <c r="A20" s="1" t="s">
        <v>13</v>
      </c>
    </row>
    <row r="21" spans="1:1">
      <c r="A21" s="1"/>
    </row>
    <row r="22" spans="1:1">
      <c r="A22" s="2" t="s">
        <v>14</v>
      </c>
    </row>
    <row r="23" spans="1:1">
      <c r="A23" s="1" t="s">
        <v>15</v>
      </c>
    </row>
    <row r="24" spans="1:1">
      <c r="A24" s="1" t="s">
        <v>16</v>
      </c>
    </row>
    <row r="25" spans="1:1">
      <c r="A25" s="1" t="s">
        <v>17</v>
      </c>
    </row>
    <row r="26" spans="1:1">
      <c r="A26" s="1"/>
    </row>
    <row r="27" spans="1:1">
      <c r="A27" s="2" t="s">
        <v>18</v>
      </c>
    </row>
    <row r="28" spans="1:1">
      <c r="A28" s="1"/>
    </row>
    <row r="29" spans="1:1">
      <c r="A29" s="2" t="s">
        <v>19</v>
      </c>
    </row>
    <row r="30" spans="1:1">
      <c r="A30" s="1" t="s">
        <v>20</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selection activeCell="D20" sqref="D20"/>
    </sheetView>
  </sheetViews>
  <sheetFormatPr defaultRowHeight="15"/>
  <cols>
    <col min="1" max="1" width="14" customWidth="1"/>
    <col min="2" max="2" width="12" customWidth="1"/>
    <col min="3" max="3" width="16.28515625" bestFit="1" customWidth="1"/>
    <col min="4" max="4" width="34" customWidth="1"/>
    <col min="5" max="5" width="12" customWidth="1"/>
    <col min="6" max="6" width="18" customWidth="1"/>
  </cols>
  <sheetData>
    <row r="1" spans="1:6" ht="18.75">
      <c r="A1" s="12" t="s">
        <v>21</v>
      </c>
      <c r="B1" s="10"/>
      <c r="C1" s="10"/>
      <c r="D1" s="10"/>
      <c r="E1" s="10"/>
      <c r="F1" s="10"/>
    </row>
    <row r="3" spans="1:6">
      <c r="A3" s="3" t="s">
        <v>22</v>
      </c>
      <c r="B3" s="3" t="s">
        <v>23</v>
      </c>
      <c r="C3" s="3" t="s">
        <v>24</v>
      </c>
      <c r="D3" s="3" t="s">
        <v>25</v>
      </c>
      <c r="E3" s="3" t="s">
        <v>26</v>
      </c>
      <c r="F3" s="3" t="s">
        <v>27</v>
      </c>
    </row>
    <row r="4" spans="1:6">
      <c r="A4" s="4" t="s">
        <v>28</v>
      </c>
      <c r="B4" s="4" t="s">
        <v>29</v>
      </c>
      <c r="C4" s="4" t="s">
        <v>30</v>
      </c>
      <c r="D4" s="4" t="s">
        <v>31</v>
      </c>
      <c r="E4" s="4">
        <v>24</v>
      </c>
      <c r="F4" s="5">
        <v>2400</v>
      </c>
    </row>
    <row r="5" spans="1:6">
      <c r="A5" s="6" t="s">
        <v>32</v>
      </c>
      <c r="B5" s="6" t="s">
        <v>29</v>
      </c>
      <c r="C5" s="6" t="s">
        <v>33</v>
      </c>
      <c r="D5" s="6" t="s">
        <v>34</v>
      </c>
      <c r="E5" s="6">
        <v>12</v>
      </c>
      <c r="F5" s="7">
        <v>1320</v>
      </c>
    </row>
    <row r="6" spans="1:6">
      <c r="A6" s="4" t="s">
        <v>35</v>
      </c>
      <c r="B6" s="4" t="s">
        <v>29</v>
      </c>
      <c r="C6" s="4" t="s">
        <v>36</v>
      </c>
      <c r="D6" s="4" t="s">
        <v>37</v>
      </c>
      <c r="E6" s="4">
        <v>50</v>
      </c>
      <c r="F6" s="5">
        <v>1500</v>
      </c>
    </row>
    <row r="7" spans="1:6">
      <c r="A7" s="6" t="s">
        <v>38</v>
      </c>
      <c r="B7" s="6" t="s">
        <v>39</v>
      </c>
      <c r="C7" s="6" t="s">
        <v>30</v>
      </c>
      <c r="D7" s="6" t="s">
        <v>40</v>
      </c>
      <c r="E7" s="6">
        <v>50</v>
      </c>
      <c r="F7" s="7">
        <v>7500</v>
      </c>
    </row>
    <row r="8" spans="1:6">
      <c r="A8" s="4" t="s">
        <v>41</v>
      </c>
      <c r="B8" s="4" t="s">
        <v>39</v>
      </c>
      <c r="C8" s="4" t="s">
        <v>42</v>
      </c>
      <c r="D8" s="4" t="s">
        <v>43</v>
      </c>
      <c r="E8" s="4">
        <v>200</v>
      </c>
      <c r="F8" s="5">
        <v>2000</v>
      </c>
    </row>
    <row r="9" spans="1:6">
      <c r="A9" s="6" t="s">
        <v>44</v>
      </c>
      <c r="B9" s="6" t="s">
        <v>39</v>
      </c>
      <c r="C9" s="6" t="s">
        <v>30</v>
      </c>
      <c r="D9" s="6" t="s">
        <v>45</v>
      </c>
      <c r="E9" s="6">
        <v>30</v>
      </c>
      <c r="F9" s="7">
        <v>4500</v>
      </c>
    </row>
    <row r="10" spans="1:6">
      <c r="A10" s="4" t="s">
        <v>46</v>
      </c>
      <c r="B10" s="4" t="s">
        <v>39</v>
      </c>
      <c r="C10" s="4" t="s">
        <v>33</v>
      </c>
      <c r="D10" s="4" t="s">
        <v>47</v>
      </c>
      <c r="E10" s="4">
        <v>20</v>
      </c>
      <c r="F10" s="5">
        <v>2400</v>
      </c>
    </row>
    <row r="11" spans="1:6">
      <c r="A11" s="6" t="s">
        <v>48</v>
      </c>
      <c r="B11" s="6" t="s">
        <v>49</v>
      </c>
      <c r="C11" s="6" t="s">
        <v>30</v>
      </c>
      <c r="D11" s="6" t="s">
        <v>50</v>
      </c>
      <c r="E11" s="6">
        <v>24</v>
      </c>
      <c r="F11" s="7">
        <v>2640</v>
      </c>
    </row>
    <row r="12" spans="1:6">
      <c r="A12" s="4" t="s">
        <v>51</v>
      </c>
      <c r="B12" s="4" t="s">
        <v>49</v>
      </c>
      <c r="C12" s="4" t="s">
        <v>36</v>
      </c>
      <c r="D12" s="4" t="s">
        <v>52</v>
      </c>
      <c r="E12" s="4">
        <v>40</v>
      </c>
      <c r="F12" s="5">
        <v>2000</v>
      </c>
    </row>
    <row r="13" spans="1:6">
      <c r="A13" s="6" t="s">
        <v>53</v>
      </c>
      <c r="B13" s="6" t="s">
        <v>49</v>
      </c>
      <c r="C13" s="6" t="s">
        <v>33</v>
      </c>
      <c r="D13" s="6" t="s">
        <v>54</v>
      </c>
      <c r="E13" s="6">
        <v>15</v>
      </c>
      <c r="F13" s="7">
        <v>1500</v>
      </c>
    </row>
    <row r="14" spans="1:6">
      <c r="A14" s="4" t="s">
        <v>55</v>
      </c>
      <c r="B14" s="4" t="s">
        <v>56</v>
      </c>
      <c r="C14" s="4" t="s">
        <v>30</v>
      </c>
      <c r="D14" s="4" t="s">
        <v>57</v>
      </c>
      <c r="E14" s="4">
        <v>30</v>
      </c>
      <c r="F14" s="5">
        <v>3900</v>
      </c>
    </row>
    <row r="15" spans="1:6">
      <c r="A15" s="6" t="s">
        <v>58</v>
      </c>
      <c r="B15" s="6" t="s">
        <v>56</v>
      </c>
      <c r="C15" s="6" t="s">
        <v>42</v>
      </c>
      <c r="D15" s="6" t="s">
        <v>59</v>
      </c>
      <c r="E15" s="6">
        <v>5</v>
      </c>
      <c r="F15" s="7">
        <v>1250</v>
      </c>
    </row>
    <row r="16" spans="1:6">
      <c r="A16" s="4" t="s">
        <v>60</v>
      </c>
      <c r="B16" s="4" t="s">
        <v>56</v>
      </c>
      <c r="C16" s="4" t="s">
        <v>36</v>
      </c>
      <c r="D16" s="4" t="s">
        <v>37</v>
      </c>
      <c r="E16" s="4">
        <v>50</v>
      </c>
      <c r="F16" s="5">
        <v>1500</v>
      </c>
    </row>
    <row r="17" spans="1:6">
      <c r="A17" s="6" t="s">
        <v>61</v>
      </c>
      <c r="B17" s="6" t="s">
        <v>62</v>
      </c>
      <c r="C17" s="6" t="s">
        <v>30</v>
      </c>
      <c r="D17" s="6" t="s">
        <v>63</v>
      </c>
      <c r="E17" s="6">
        <v>40</v>
      </c>
      <c r="F17" s="7">
        <v>5200</v>
      </c>
    </row>
    <row r="18" spans="1:6">
      <c r="A18" s="4" t="s">
        <v>64</v>
      </c>
      <c r="B18" s="4" t="s">
        <v>62</v>
      </c>
      <c r="C18" s="4" t="s">
        <v>30</v>
      </c>
      <c r="D18" s="4" t="s">
        <v>65</v>
      </c>
      <c r="E18" s="4">
        <v>200</v>
      </c>
      <c r="F18" s="5">
        <v>20000</v>
      </c>
    </row>
    <row r="19" spans="1:6">
      <c r="A19" s="6" t="s">
        <v>66</v>
      </c>
      <c r="B19" s="6" t="s">
        <v>62</v>
      </c>
      <c r="C19" s="6" t="s">
        <v>33</v>
      </c>
      <c r="D19" s="6" t="s">
        <v>67</v>
      </c>
      <c r="E19" s="6">
        <v>25</v>
      </c>
      <c r="F19" s="7">
        <v>3500</v>
      </c>
    </row>
    <row r="20" spans="1:6">
      <c r="A20" s="4" t="s">
        <v>68</v>
      </c>
      <c r="B20" s="4" t="s">
        <v>62</v>
      </c>
      <c r="C20" s="4" t="s">
        <v>42</v>
      </c>
      <c r="D20" s="4" t="s">
        <v>69</v>
      </c>
      <c r="E20" s="4">
        <v>8</v>
      </c>
      <c r="F20" s="5">
        <v>1600</v>
      </c>
    </row>
    <row r="21" spans="1:6">
      <c r="A21" s="6" t="s">
        <v>70</v>
      </c>
      <c r="B21" s="6" t="s">
        <v>71</v>
      </c>
      <c r="C21" s="6" t="s">
        <v>30</v>
      </c>
      <c r="D21" s="6" t="s">
        <v>72</v>
      </c>
      <c r="E21" s="6">
        <v>30</v>
      </c>
      <c r="F21" s="7">
        <v>3000</v>
      </c>
    </row>
    <row r="22" spans="1:6">
      <c r="A22" s="4" t="s">
        <v>73</v>
      </c>
      <c r="B22" s="4" t="s">
        <v>71</v>
      </c>
      <c r="C22" s="4" t="s">
        <v>36</v>
      </c>
      <c r="D22" s="4" t="s">
        <v>74</v>
      </c>
      <c r="E22" s="4">
        <v>60</v>
      </c>
      <c r="F22" s="5">
        <v>1800</v>
      </c>
    </row>
    <row r="23" spans="1:6">
      <c r="A23" s="6" t="s">
        <v>75</v>
      </c>
      <c r="B23" s="6" t="s">
        <v>71</v>
      </c>
      <c r="C23" s="6" t="s">
        <v>33</v>
      </c>
      <c r="D23" s="6" t="s">
        <v>76</v>
      </c>
      <c r="E23" s="6">
        <v>15</v>
      </c>
      <c r="F23" s="7">
        <v>1650</v>
      </c>
    </row>
    <row r="24" spans="1:6">
      <c r="A24" s="4" t="s">
        <v>77</v>
      </c>
      <c r="B24" s="4" t="s">
        <v>78</v>
      </c>
      <c r="C24" s="4" t="s">
        <v>30</v>
      </c>
      <c r="D24" s="4" t="s">
        <v>79</v>
      </c>
      <c r="E24" s="4">
        <v>24</v>
      </c>
      <c r="F24" s="5">
        <v>2880</v>
      </c>
    </row>
    <row r="25" spans="1:6">
      <c r="A25" s="6" t="s">
        <v>80</v>
      </c>
      <c r="B25" s="6" t="s">
        <v>78</v>
      </c>
      <c r="C25" s="6" t="s">
        <v>36</v>
      </c>
      <c r="D25" s="6" t="s">
        <v>81</v>
      </c>
      <c r="E25" s="6">
        <v>30</v>
      </c>
      <c r="F25" s="7">
        <v>1500</v>
      </c>
    </row>
    <row r="26" spans="1:6">
      <c r="A26" s="4" t="s">
        <v>82</v>
      </c>
      <c r="B26" s="4" t="s">
        <v>78</v>
      </c>
      <c r="C26" s="4" t="s">
        <v>42</v>
      </c>
      <c r="D26" s="4" t="s">
        <v>83</v>
      </c>
      <c r="E26" s="4">
        <v>5</v>
      </c>
      <c r="F26" s="5">
        <v>1250</v>
      </c>
    </row>
    <row r="27" spans="1:6">
      <c r="A27" s="6" t="s">
        <v>84</v>
      </c>
      <c r="B27" s="6" t="s">
        <v>85</v>
      </c>
      <c r="C27" s="6" t="s">
        <v>30</v>
      </c>
      <c r="D27" s="6" t="s">
        <v>86</v>
      </c>
      <c r="E27" s="6">
        <v>20</v>
      </c>
      <c r="F27" s="7">
        <v>2200</v>
      </c>
    </row>
    <row r="28" spans="1:6">
      <c r="A28" s="4" t="s">
        <v>87</v>
      </c>
      <c r="B28" s="4" t="s">
        <v>85</v>
      </c>
      <c r="C28" s="4" t="s">
        <v>33</v>
      </c>
      <c r="D28" s="4" t="s">
        <v>88</v>
      </c>
      <c r="E28" s="4">
        <v>15</v>
      </c>
      <c r="F28" s="5">
        <v>1800</v>
      </c>
    </row>
    <row r="29" spans="1:6">
      <c r="A29" s="6" t="s">
        <v>89</v>
      </c>
      <c r="B29" s="6" t="s">
        <v>85</v>
      </c>
      <c r="C29" s="6" t="s">
        <v>36</v>
      </c>
      <c r="D29" s="6" t="s">
        <v>90</v>
      </c>
      <c r="E29" s="6">
        <v>40</v>
      </c>
      <c r="F29" s="7">
        <v>1200</v>
      </c>
    </row>
    <row r="30" spans="1:6">
      <c r="A30" s="4" t="s">
        <v>91</v>
      </c>
      <c r="B30" s="4" t="s">
        <v>92</v>
      </c>
      <c r="C30" s="4" t="s">
        <v>30</v>
      </c>
      <c r="D30" s="4" t="s">
        <v>93</v>
      </c>
      <c r="E30" s="4">
        <v>25</v>
      </c>
      <c r="F30" s="5">
        <v>3750</v>
      </c>
    </row>
    <row r="31" spans="1:6">
      <c r="A31" s="6" t="s">
        <v>94</v>
      </c>
      <c r="B31" s="6" t="s">
        <v>92</v>
      </c>
      <c r="C31" s="6" t="s">
        <v>33</v>
      </c>
      <c r="D31" s="6" t="s">
        <v>95</v>
      </c>
      <c r="E31" s="6">
        <v>12</v>
      </c>
      <c r="F31" s="7">
        <v>1200</v>
      </c>
    </row>
    <row r="32" spans="1:6">
      <c r="A32" s="4" t="s">
        <v>96</v>
      </c>
      <c r="B32" s="4" t="s">
        <v>92</v>
      </c>
      <c r="C32" s="4" t="s">
        <v>42</v>
      </c>
      <c r="D32" s="4" t="s">
        <v>97</v>
      </c>
      <c r="E32" s="4">
        <v>3</v>
      </c>
      <c r="F32" s="5">
        <v>750</v>
      </c>
    </row>
    <row r="33" spans="1:6">
      <c r="A33" s="6" t="s">
        <v>98</v>
      </c>
      <c r="B33" s="6" t="s">
        <v>99</v>
      </c>
      <c r="C33" s="6" t="s">
        <v>30</v>
      </c>
      <c r="D33" s="6" t="s">
        <v>100</v>
      </c>
      <c r="E33" s="6">
        <v>35</v>
      </c>
      <c r="F33" s="7">
        <v>4900</v>
      </c>
    </row>
    <row r="34" spans="1:6">
      <c r="A34" s="4" t="s">
        <v>101</v>
      </c>
      <c r="B34" s="4" t="s">
        <v>99</v>
      </c>
      <c r="C34" s="4" t="s">
        <v>36</v>
      </c>
      <c r="D34" s="4" t="s">
        <v>102</v>
      </c>
      <c r="E34" s="4">
        <v>50</v>
      </c>
      <c r="F34" s="5">
        <v>2000</v>
      </c>
    </row>
    <row r="35" spans="1:6">
      <c r="A35" s="6" t="s">
        <v>103</v>
      </c>
      <c r="B35" s="6" t="s">
        <v>99</v>
      </c>
      <c r="C35" s="6" t="s">
        <v>33</v>
      </c>
      <c r="D35" s="6" t="s">
        <v>104</v>
      </c>
      <c r="E35" s="6">
        <v>15</v>
      </c>
      <c r="F35" s="7">
        <v>2100</v>
      </c>
    </row>
    <row r="36" spans="1:6">
      <c r="A36" s="4" t="s">
        <v>105</v>
      </c>
      <c r="B36" s="4" t="s">
        <v>106</v>
      </c>
      <c r="C36" s="4" t="s">
        <v>30</v>
      </c>
      <c r="D36" s="4" t="s">
        <v>72</v>
      </c>
      <c r="E36" s="4">
        <v>30</v>
      </c>
      <c r="F36" s="5">
        <v>3000</v>
      </c>
    </row>
    <row r="37" spans="1:6">
      <c r="A37" s="6" t="s">
        <v>107</v>
      </c>
      <c r="B37" s="6" t="s">
        <v>106</v>
      </c>
      <c r="C37" s="6" t="s">
        <v>33</v>
      </c>
      <c r="D37" s="6" t="s">
        <v>108</v>
      </c>
      <c r="E37" s="6">
        <v>20</v>
      </c>
      <c r="F37" s="7">
        <v>2800</v>
      </c>
    </row>
    <row r="38" spans="1:6">
      <c r="A38" s="4" t="s">
        <v>109</v>
      </c>
      <c r="B38" s="4" t="s">
        <v>106</v>
      </c>
      <c r="C38" s="4" t="s">
        <v>36</v>
      </c>
      <c r="D38" s="4" t="s">
        <v>74</v>
      </c>
      <c r="E38" s="4">
        <v>60</v>
      </c>
      <c r="F38" s="5">
        <v>1800</v>
      </c>
    </row>
    <row r="39" spans="1:6">
      <c r="A39" s="6" t="s">
        <v>110</v>
      </c>
      <c r="B39" s="6" t="s">
        <v>111</v>
      </c>
      <c r="C39" s="6" t="s">
        <v>30</v>
      </c>
      <c r="D39" s="6" t="s">
        <v>112</v>
      </c>
      <c r="E39" s="6">
        <v>50</v>
      </c>
      <c r="F39" s="7">
        <v>7000</v>
      </c>
    </row>
    <row r="40" spans="1:6">
      <c r="A40" s="4" t="s">
        <v>113</v>
      </c>
      <c r="B40" s="4" t="s">
        <v>111</v>
      </c>
      <c r="C40" s="4" t="s">
        <v>36</v>
      </c>
      <c r="D40" s="4" t="s">
        <v>114</v>
      </c>
      <c r="E40" s="4">
        <v>60</v>
      </c>
      <c r="F40" s="5">
        <v>2400</v>
      </c>
    </row>
    <row r="41" spans="1:6">
      <c r="A41" s="6" t="s">
        <v>115</v>
      </c>
      <c r="B41" s="6" t="s">
        <v>111</v>
      </c>
      <c r="C41" s="6" t="s">
        <v>33</v>
      </c>
      <c r="D41" s="6" t="s">
        <v>116</v>
      </c>
      <c r="E41" s="6">
        <v>30</v>
      </c>
      <c r="F41" s="7">
        <v>4500</v>
      </c>
    </row>
    <row r="42" spans="1:6">
      <c r="A42" s="4" t="s">
        <v>117</v>
      </c>
      <c r="B42" s="4" t="s">
        <v>111</v>
      </c>
      <c r="C42" s="4" t="s">
        <v>42</v>
      </c>
      <c r="D42" s="4" t="s">
        <v>118</v>
      </c>
      <c r="E42" s="4">
        <v>10</v>
      </c>
      <c r="F42" s="5">
        <v>2000</v>
      </c>
    </row>
    <row r="43" spans="1:6">
      <c r="A43" s="6" t="s">
        <v>119</v>
      </c>
      <c r="B43" s="6" t="s">
        <v>111</v>
      </c>
      <c r="C43" s="6" t="s">
        <v>30</v>
      </c>
      <c r="D43" s="6" t="s">
        <v>120</v>
      </c>
      <c r="E43" s="6">
        <v>40</v>
      </c>
      <c r="F43" s="7">
        <v>5600</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34FFD-8524-4F6D-8530-491F87D73111}">
  <dimension ref="A1:B11"/>
  <sheetViews>
    <sheetView workbookViewId="0">
      <selection activeCell="F8" sqref="F8"/>
    </sheetView>
  </sheetViews>
  <sheetFormatPr defaultRowHeight="15"/>
  <cols>
    <col min="1" max="1" width="31" customWidth="1"/>
    <col min="2" max="2" width="10.42578125" customWidth="1"/>
  </cols>
  <sheetData>
    <row r="1" spans="1:2" ht="18.75">
      <c r="A1" s="14" t="s">
        <v>122</v>
      </c>
    </row>
    <row r="3" spans="1:2" ht="15.75">
      <c r="A3" s="57" t="s">
        <v>124</v>
      </c>
      <c r="B3" s="54"/>
    </row>
    <row r="4" spans="1:2">
      <c r="A4" s="54" t="s">
        <v>123</v>
      </c>
      <c r="B4" s="59">
        <f>AVERAGE('Sales Data'!F4:F43)</f>
        <v>3144.75</v>
      </c>
    </row>
    <row r="5" spans="1:2">
      <c r="A5" s="54" t="s">
        <v>126</v>
      </c>
      <c r="B5" s="59">
        <f>MEDIAN('Sales Data'!F4:F43)</f>
        <v>2150</v>
      </c>
    </row>
    <row r="6" spans="1:2">
      <c r="A6" s="54" t="s">
        <v>127</v>
      </c>
      <c r="B6" s="59">
        <f>_xlfn.MODE.SNGL('Sales Data'!F4:F43)</f>
        <v>1500</v>
      </c>
    </row>
    <row r="8" spans="1:2" ht="15.75">
      <c r="A8" s="60" t="s">
        <v>26</v>
      </c>
      <c r="B8" s="61"/>
    </row>
    <row r="9" spans="1:2">
      <c r="A9" s="61" t="s">
        <v>125</v>
      </c>
      <c r="B9" s="62">
        <f>AVERAGE('Sales Data'!E9:E48)</f>
        <v>33.314285714285717</v>
      </c>
    </row>
    <row r="10" spans="1:2">
      <c r="A10" s="61" t="s">
        <v>128</v>
      </c>
      <c r="B10" s="62">
        <f>MEDIAN('Sales Data'!E9:E48)</f>
        <v>30</v>
      </c>
    </row>
    <row r="11" spans="1:2">
      <c r="A11" s="61" t="s">
        <v>129</v>
      </c>
      <c r="B11" s="62">
        <f>_xlfn.MODE.SNGL('Sales Data'!E9:E48)</f>
        <v>30</v>
      </c>
    </row>
  </sheetData>
  <conditionalFormatting sqref="B4:B6">
    <cfRule type="dataBar" priority="2">
      <dataBar>
        <cfvo type="min"/>
        <cfvo type="max"/>
        <color rgb="FF63C384"/>
      </dataBar>
      <extLst>
        <ext xmlns:x14="http://schemas.microsoft.com/office/spreadsheetml/2009/9/main" uri="{B025F937-C7B1-47D3-B67F-A62EFF666E3E}">
          <x14:id>{A1494615-D66A-47CE-A6B4-4BA2ECFF94E3}</x14:id>
        </ext>
      </extLst>
    </cfRule>
    <cfRule type="colorScale" priority="4">
      <colorScale>
        <cfvo type="min"/>
        <cfvo type="max"/>
        <color rgb="FFFFEF9C"/>
        <color rgb="FF63BE7B"/>
      </colorScale>
    </cfRule>
  </conditionalFormatting>
  <conditionalFormatting sqref="B9:B11">
    <cfRule type="colorScale" priority="1">
      <colorScale>
        <cfvo type="min"/>
        <cfvo type="max"/>
        <color rgb="FFFFEF9C"/>
        <color rgb="FF63BE7B"/>
      </colorScale>
    </cfRule>
    <cfRule type="dataBar" priority="3">
      <dataBar>
        <cfvo type="min"/>
        <cfvo type="max"/>
        <color rgb="FF63C384"/>
      </dataBar>
      <extLst>
        <ext xmlns:x14="http://schemas.microsoft.com/office/spreadsheetml/2009/9/main" uri="{B025F937-C7B1-47D3-B67F-A62EFF666E3E}">
          <x14:id>{8560C82A-B0FB-484E-A844-D71DF92E19A4}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1494615-D66A-47CE-A6B4-4BA2ECFF94E3}">
            <x14:dataBar minLength="0" maxLength="100" border="1" negativeBarBorderColorSameAsPositive="0">
              <x14:cfvo type="autoMin"/>
              <x14:cfvo type="autoMax"/>
              <x14:borderColor rgb="FF63C384"/>
              <x14:negativeFillColor rgb="FFFF0000"/>
              <x14:negativeBorderColor rgb="FFFF0000"/>
              <x14:axisColor rgb="FF000000"/>
            </x14:dataBar>
          </x14:cfRule>
          <xm:sqref>B4:B6</xm:sqref>
        </x14:conditionalFormatting>
        <x14:conditionalFormatting xmlns:xm="http://schemas.microsoft.com/office/excel/2006/main">
          <x14:cfRule type="dataBar" id="{8560C82A-B0FB-484E-A844-D71DF92E19A4}">
            <x14:dataBar minLength="0" maxLength="100" border="1" negativeBarBorderColorSameAsPositive="0">
              <x14:cfvo type="autoMin"/>
              <x14:cfvo type="autoMax"/>
              <x14:borderColor rgb="FF63C384"/>
              <x14:negativeFillColor rgb="FFFF0000"/>
              <x14:negativeBorderColor rgb="FFFF0000"/>
              <x14:axisColor rgb="FF000000"/>
            </x14:dataBar>
          </x14:cfRule>
          <xm:sqref>B9:B11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3"/>
  <sheetViews>
    <sheetView tabSelected="1" workbookViewId="0">
      <selection activeCell="V22" sqref="V22"/>
    </sheetView>
  </sheetViews>
  <sheetFormatPr defaultRowHeight="15"/>
  <cols>
    <col min="1" max="4" width="12.28515625" customWidth="1"/>
    <col min="5" max="5" width="1.140625" customWidth="1"/>
    <col min="6" max="9" width="12.28515625" customWidth="1"/>
    <col min="10" max="10" width="1.28515625" customWidth="1"/>
    <col min="11" max="14" width="12.28515625" customWidth="1"/>
    <col min="15" max="15" width="1.28515625" customWidth="1"/>
    <col min="16" max="19" width="12.28515625" customWidth="1"/>
    <col min="20" max="20" width="14" customWidth="1"/>
  </cols>
  <sheetData>
    <row r="1" spans="1:19" ht="19.5">
      <c r="A1" s="34" t="s">
        <v>132</v>
      </c>
      <c r="B1" s="34"/>
      <c r="C1" s="34"/>
      <c r="D1" s="34"/>
      <c r="E1" s="34"/>
      <c r="F1" s="34"/>
      <c r="G1" s="34"/>
      <c r="H1" s="34"/>
      <c r="I1" s="34"/>
      <c r="J1" s="34"/>
      <c r="K1" s="34"/>
      <c r="L1" s="34"/>
      <c r="M1" s="34"/>
      <c r="N1" s="34"/>
      <c r="O1" s="34"/>
      <c r="P1" s="34"/>
      <c r="Q1" s="34"/>
      <c r="R1" s="34"/>
      <c r="S1" s="34"/>
    </row>
    <row r="2" spans="1:19">
      <c r="A2" s="8" t="s">
        <v>121</v>
      </c>
    </row>
    <row r="4" spans="1:19" ht="19.5">
      <c r="A4" s="32" t="s">
        <v>136</v>
      </c>
      <c r="B4" s="33"/>
      <c r="C4" s="33"/>
      <c r="D4" s="33"/>
      <c r="E4" s="33"/>
      <c r="F4" s="33"/>
      <c r="G4" s="33"/>
      <c r="H4" s="33"/>
      <c r="I4" s="33"/>
      <c r="J4" s="33"/>
      <c r="K4" s="33"/>
      <c r="L4" s="33"/>
      <c r="M4" s="33"/>
      <c r="N4" s="33"/>
      <c r="O4" s="33"/>
      <c r="P4" s="33"/>
      <c r="Q4" s="33"/>
      <c r="R4" s="33"/>
      <c r="S4" s="33"/>
    </row>
    <row r="5" spans="1:19" ht="4.5" customHeight="1">
      <c r="A5" s="30"/>
      <c r="B5" s="30"/>
      <c r="C5" s="30"/>
      <c r="D5" s="30"/>
      <c r="E5" s="30"/>
      <c r="F5" s="30"/>
      <c r="G5" s="30"/>
      <c r="H5" s="30"/>
      <c r="I5" s="30"/>
      <c r="J5" s="30"/>
      <c r="K5" s="30"/>
      <c r="L5" s="30"/>
      <c r="M5" s="30"/>
      <c r="N5" s="30"/>
      <c r="O5" s="30"/>
      <c r="P5" s="30"/>
      <c r="Q5" s="30"/>
      <c r="R5" s="30"/>
      <c r="S5" s="30"/>
    </row>
    <row r="6" spans="1:19" ht="18.75">
      <c r="A6" s="20" t="s">
        <v>133</v>
      </c>
      <c r="B6" s="21"/>
      <c r="C6" s="21"/>
      <c r="D6" s="21"/>
      <c r="F6" s="25" t="s">
        <v>134</v>
      </c>
      <c r="G6" s="26"/>
      <c r="H6" s="26"/>
      <c r="I6" s="26"/>
      <c r="K6" s="38" t="s">
        <v>135</v>
      </c>
      <c r="L6" s="39"/>
      <c r="M6" s="39"/>
      <c r="N6" s="40"/>
      <c r="P6" s="46" t="s">
        <v>138</v>
      </c>
      <c r="Q6" s="35"/>
      <c r="R6" s="35"/>
      <c r="S6" s="47"/>
    </row>
    <row r="7" spans="1:19" ht="15" customHeight="1">
      <c r="A7" s="22">
        <f>SUM('Sales Data'!F4:F43)</f>
        <v>125790</v>
      </c>
      <c r="B7" s="17"/>
      <c r="C7" s="17"/>
      <c r="D7" s="17"/>
      <c r="F7" s="27">
        <f>AVERAGE('Sales Data'!F4:F43)</f>
        <v>3144.75</v>
      </c>
      <c r="G7" s="18"/>
      <c r="H7" s="18"/>
      <c r="I7" s="18"/>
      <c r="K7" s="41" t="str">
        <f>INDEX(A30:A33, MATCH(MAX(B30:B33), B30:B480, 0))</f>
        <v>Milk Tea</v>
      </c>
      <c r="L7" s="37"/>
      <c r="M7" s="37"/>
      <c r="N7" s="42"/>
      <c r="P7" s="48">
        <f>COUNT('Sales Data'!F4:F43)</f>
        <v>40</v>
      </c>
      <c r="Q7" s="36"/>
      <c r="R7" s="36"/>
      <c r="S7" s="49"/>
    </row>
    <row r="8" spans="1:19" ht="15" customHeight="1">
      <c r="A8" s="22"/>
      <c r="B8" s="17"/>
      <c r="C8" s="17"/>
      <c r="D8" s="17"/>
      <c r="F8" s="27"/>
      <c r="G8" s="18"/>
      <c r="H8" s="18"/>
      <c r="I8" s="18"/>
      <c r="K8" s="41"/>
      <c r="L8" s="37"/>
      <c r="M8" s="37"/>
      <c r="N8" s="42"/>
      <c r="P8" s="48"/>
      <c r="Q8" s="36"/>
      <c r="R8" s="36"/>
      <c r="S8" s="49"/>
    </row>
    <row r="9" spans="1:19">
      <c r="A9" s="23"/>
      <c r="B9" s="24"/>
      <c r="C9" s="24"/>
      <c r="D9" s="24"/>
      <c r="F9" s="28"/>
      <c r="G9" s="29"/>
      <c r="H9" s="29"/>
      <c r="I9" s="29"/>
      <c r="K9" s="43"/>
      <c r="L9" s="44"/>
      <c r="M9" s="44"/>
      <c r="N9" s="45"/>
      <c r="P9" s="50"/>
      <c r="Q9" s="31"/>
      <c r="R9" s="31"/>
      <c r="S9" s="51"/>
    </row>
    <row r="10" spans="1:19" ht="6.75" customHeight="1"/>
    <row r="11" spans="1:19" ht="19.5">
      <c r="A11" s="32" t="s">
        <v>137</v>
      </c>
      <c r="B11" s="33"/>
      <c r="C11" s="33"/>
      <c r="D11" s="33"/>
      <c r="E11" s="33"/>
      <c r="F11" s="33"/>
      <c r="G11" s="33"/>
      <c r="H11" s="33"/>
      <c r="I11" s="33"/>
      <c r="J11" s="33"/>
      <c r="K11" s="33"/>
      <c r="L11" s="33"/>
      <c r="M11" s="33"/>
      <c r="N11" s="33"/>
      <c r="O11" s="33"/>
      <c r="P11" s="33"/>
      <c r="Q11" s="33"/>
      <c r="R11" s="33"/>
      <c r="S11" s="33"/>
    </row>
    <row r="12" spans="1:19" ht="21.75" customHeight="1"/>
    <row r="13" spans="1:19" ht="3.75" customHeight="1">
      <c r="D13" s="19"/>
    </row>
    <row r="28" spans="1:19" ht="19.5">
      <c r="A28" s="32" t="s">
        <v>139</v>
      </c>
      <c r="B28" s="33"/>
      <c r="C28" s="33"/>
      <c r="D28" s="33"/>
      <c r="E28" s="33"/>
      <c r="F28" s="33"/>
      <c r="G28" s="33"/>
      <c r="H28" s="33"/>
      <c r="I28" s="33"/>
      <c r="J28" s="33"/>
      <c r="K28" s="33"/>
      <c r="L28" s="33"/>
      <c r="M28" s="33"/>
      <c r="N28" s="33"/>
      <c r="O28" s="33"/>
      <c r="P28" s="33"/>
      <c r="Q28" s="33"/>
      <c r="R28" s="33"/>
      <c r="S28" s="33"/>
    </row>
    <row r="29" spans="1:19">
      <c r="A29" s="53" t="s">
        <v>130</v>
      </c>
      <c r="B29" s="54"/>
      <c r="C29" s="54"/>
      <c r="D29" s="54"/>
      <c r="F29" s="54"/>
      <c r="G29" s="54"/>
      <c r="H29" s="54"/>
      <c r="I29" s="54"/>
      <c r="J29" s="54"/>
      <c r="K29" s="54"/>
      <c r="L29" s="54"/>
      <c r="M29" s="54"/>
      <c r="N29" s="54"/>
      <c r="O29" s="54"/>
      <c r="P29" s="54"/>
      <c r="Q29" s="54"/>
      <c r="R29" s="54"/>
      <c r="S29" s="54"/>
    </row>
    <row r="30" spans="1:19" ht="15.75">
      <c r="A30" s="55" t="s">
        <v>30</v>
      </c>
      <c r="B30" s="56">
        <f>SUMIF('Sales Data'!C4:C43,'Sales Data'!C4,'Sales Data'!F4:F43)</f>
        <v>78470</v>
      </c>
      <c r="C30" s="54"/>
      <c r="D30" s="54"/>
      <c r="F30" s="57" t="s">
        <v>142</v>
      </c>
      <c r="G30" s="54"/>
      <c r="H30" s="54"/>
      <c r="I30" s="54"/>
      <c r="J30" s="54"/>
      <c r="K30" s="54"/>
      <c r="L30" s="54"/>
      <c r="M30" s="54"/>
      <c r="N30" s="54"/>
      <c r="O30" s="54"/>
      <c r="P30" s="54"/>
      <c r="Q30" s="54"/>
      <c r="R30" s="54"/>
      <c r="S30" s="54"/>
    </row>
    <row r="31" spans="1:19">
      <c r="A31" s="55" t="s">
        <v>33</v>
      </c>
      <c r="B31" s="56">
        <f>SUMIF('Sales Data'!C4:C43,'Sales Data'!C5,'Sales Data'!F4:F43)</f>
        <v>22770</v>
      </c>
      <c r="C31" s="54"/>
      <c r="D31" s="54"/>
      <c r="F31" s="58" t="s">
        <v>29</v>
      </c>
      <c r="G31" s="58" t="s">
        <v>39</v>
      </c>
      <c r="H31" s="58" t="s">
        <v>49</v>
      </c>
      <c r="I31" s="58" t="s">
        <v>56</v>
      </c>
      <c r="J31" s="58"/>
      <c r="K31" s="58" t="s">
        <v>62</v>
      </c>
      <c r="L31" s="58" t="s">
        <v>71</v>
      </c>
      <c r="M31" s="58" t="s">
        <v>78</v>
      </c>
      <c r="N31" s="58" t="s">
        <v>85</v>
      </c>
      <c r="O31" s="58"/>
      <c r="P31" s="58" t="s">
        <v>92</v>
      </c>
      <c r="Q31" s="58" t="s">
        <v>99</v>
      </c>
      <c r="R31" s="58" t="s">
        <v>106</v>
      </c>
      <c r="S31" s="58" t="s">
        <v>111</v>
      </c>
    </row>
    <row r="32" spans="1:19">
      <c r="A32" s="55" t="s">
        <v>36</v>
      </c>
      <c r="B32" s="56">
        <f>SUMIF('Sales Data'!C4:C43,'Sales Data'!C6,'Sales Data'!F4:F43)</f>
        <v>15700</v>
      </c>
      <c r="C32" s="54"/>
      <c r="D32" s="54"/>
      <c r="F32" s="56">
        <f>SUMIF('Sales Data'!B4:B43,"January",'Sales Data'!F4:F43)</f>
        <v>5220</v>
      </c>
      <c r="G32" s="56">
        <f>SUMIF('Sales Data'!B4:B43,"February",'Sales Data'!F4:F43)</f>
        <v>16400</v>
      </c>
      <c r="H32" s="56">
        <f>SUMIF('Sales Data'!B4:B43,"March",'Sales Data'!F4:F43)</f>
        <v>6140</v>
      </c>
      <c r="I32" s="56">
        <f>SUMIF('Sales Data'!B4:B43,"April",'Sales Data'!F4:F43)</f>
        <v>6650</v>
      </c>
      <c r="J32" s="54"/>
      <c r="K32" s="56">
        <f>SUMIF('Sales Data'!B4:B43,"May",'Sales Data'!F4:F43)</f>
        <v>30300</v>
      </c>
      <c r="L32" s="56">
        <f>SUMIF('Sales Data'!B4:B43,"June",'Sales Data'!F4:F43)</f>
        <v>6450</v>
      </c>
      <c r="M32" s="56">
        <f>SUMIF('Sales Data'!B4:B43,"July",'Sales Data'!F4:F43)</f>
        <v>5630</v>
      </c>
      <c r="N32" s="56">
        <f>SUMIF('Sales Data'!B4:B43,"August",'Sales Data'!F4:F43)</f>
        <v>5200</v>
      </c>
      <c r="O32" s="54"/>
      <c r="P32" s="56">
        <f>SUMIF('Sales Data'!B4:B43,"September",'Sales Data'!F4:F43)</f>
        <v>5700</v>
      </c>
      <c r="Q32" s="56">
        <f>SUMIF('Sales Data'!B4:B43,"October",'Sales Data'!F4:F43)</f>
        <v>9000</v>
      </c>
      <c r="R32" s="56">
        <f>SUMIF('Sales Data'!B4:B43,"November",'Sales Data'!F4:F43)</f>
        <v>7600</v>
      </c>
      <c r="S32" s="56">
        <f>SUMIF('Sales Data'!B4:B43,"December",'Sales Data'!F4:F43)</f>
        <v>21500</v>
      </c>
    </row>
    <row r="33" spans="1:19">
      <c r="A33" s="55" t="s">
        <v>42</v>
      </c>
      <c r="B33" s="56">
        <f>SUMIF('Sales Data'!C4:C43,'Sales Data'!C8,'Sales Data'!F4:F43)</f>
        <v>8850</v>
      </c>
      <c r="C33" s="54"/>
      <c r="D33" s="54"/>
      <c r="F33" s="54"/>
      <c r="G33" s="54"/>
      <c r="H33" s="54"/>
      <c r="I33" s="54"/>
      <c r="J33" s="54"/>
      <c r="K33" s="54"/>
      <c r="L33" s="54"/>
      <c r="M33" s="54"/>
      <c r="N33" s="54"/>
      <c r="O33" s="54"/>
      <c r="P33" s="54"/>
      <c r="Q33" s="54"/>
      <c r="R33" s="54"/>
      <c r="S33" s="54"/>
    </row>
    <row r="35" spans="1:19" ht="19.5">
      <c r="A35" s="32" t="s">
        <v>141</v>
      </c>
      <c r="B35" s="33"/>
      <c r="C35" s="33"/>
      <c r="D35" s="33"/>
      <c r="E35" s="33"/>
      <c r="F35" s="33"/>
      <c r="G35" s="33"/>
      <c r="H35" s="33"/>
      <c r="I35" s="33"/>
      <c r="J35" s="33"/>
      <c r="K35" s="33"/>
      <c r="L35" s="33"/>
      <c r="M35" s="33"/>
      <c r="N35" s="33"/>
      <c r="O35" s="33"/>
      <c r="P35" s="33"/>
      <c r="Q35" s="33"/>
      <c r="R35" s="33"/>
      <c r="S35" s="33"/>
    </row>
    <row r="36" spans="1:19" ht="15" customHeight="1">
      <c r="A36" s="52" t="s">
        <v>140</v>
      </c>
      <c r="B36" s="52"/>
      <c r="C36" s="52"/>
      <c r="D36" s="52"/>
      <c r="E36" s="52"/>
      <c r="F36" s="52"/>
      <c r="G36" s="52"/>
      <c r="H36" s="52"/>
      <c r="I36" s="52"/>
      <c r="J36" s="52"/>
      <c r="K36" s="52"/>
      <c r="L36" s="52"/>
      <c r="M36" s="52"/>
      <c r="N36" s="52"/>
      <c r="O36" s="52"/>
      <c r="P36" s="52"/>
      <c r="Q36" s="52"/>
      <c r="R36" s="52"/>
      <c r="S36" s="52"/>
    </row>
    <row r="37" spans="1:19">
      <c r="A37" s="52"/>
      <c r="B37" s="52"/>
      <c r="C37" s="52"/>
      <c r="D37" s="52"/>
      <c r="E37" s="52"/>
      <c r="F37" s="52"/>
      <c r="G37" s="52"/>
      <c r="H37" s="52"/>
      <c r="I37" s="52"/>
      <c r="J37" s="52"/>
      <c r="K37" s="52"/>
      <c r="L37" s="52"/>
      <c r="M37" s="52"/>
      <c r="N37" s="52"/>
      <c r="O37" s="52"/>
      <c r="P37" s="52"/>
      <c r="Q37" s="52"/>
      <c r="R37" s="52"/>
      <c r="S37" s="52"/>
    </row>
    <row r="38" spans="1:19">
      <c r="A38" s="52"/>
      <c r="B38" s="52"/>
      <c r="C38" s="52"/>
      <c r="D38" s="52"/>
      <c r="E38" s="52"/>
      <c r="F38" s="52"/>
      <c r="G38" s="52"/>
      <c r="H38" s="52"/>
      <c r="I38" s="52"/>
      <c r="J38" s="52"/>
      <c r="K38" s="52"/>
      <c r="L38" s="52"/>
      <c r="M38" s="52"/>
      <c r="N38" s="52"/>
      <c r="O38" s="52"/>
      <c r="P38" s="52"/>
      <c r="Q38" s="52"/>
      <c r="R38" s="52"/>
      <c r="S38" s="52"/>
    </row>
    <row r="39" spans="1:19">
      <c r="A39" s="52"/>
      <c r="B39" s="52"/>
      <c r="C39" s="52"/>
      <c r="D39" s="52"/>
      <c r="E39" s="52"/>
      <c r="F39" s="52"/>
      <c r="G39" s="52"/>
      <c r="H39" s="52"/>
      <c r="I39" s="52"/>
      <c r="J39" s="52"/>
      <c r="K39" s="52"/>
      <c r="L39" s="52"/>
      <c r="M39" s="52"/>
      <c r="N39" s="52"/>
      <c r="O39" s="52"/>
      <c r="P39" s="52"/>
      <c r="Q39" s="52"/>
      <c r="R39" s="52"/>
      <c r="S39" s="52"/>
    </row>
    <row r="40" spans="1:19">
      <c r="A40" s="52"/>
      <c r="B40" s="52"/>
      <c r="C40" s="52"/>
      <c r="D40" s="52"/>
      <c r="E40" s="52"/>
      <c r="F40" s="52"/>
      <c r="G40" s="52"/>
      <c r="H40" s="52"/>
      <c r="I40" s="52"/>
      <c r="J40" s="52"/>
      <c r="K40" s="52"/>
      <c r="L40" s="52"/>
      <c r="M40" s="52"/>
      <c r="N40" s="52"/>
      <c r="O40" s="52"/>
      <c r="P40" s="52"/>
      <c r="Q40" s="52"/>
      <c r="R40" s="52"/>
      <c r="S40" s="52"/>
    </row>
    <row r="41" spans="1:19">
      <c r="A41" s="52"/>
      <c r="B41" s="52"/>
      <c r="C41" s="52"/>
      <c r="D41" s="52"/>
      <c r="E41" s="52"/>
      <c r="F41" s="52"/>
      <c r="G41" s="52"/>
      <c r="H41" s="52"/>
      <c r="I41" s="52"/>
      <c r="J41" s="52"/>
      <c r="K41" s="52"/>
      <c r="L41" s="52"/>
      <c r="M41" s="52"/>
      <c r="N41" s="52"/>
      <c r="O41" s="52"/>
      <c r="P41" s="52"/>
      <c r="Q41" s="52"/>
      <c r="R41" s="52"/>
      <c r="S41" s="52"/>
    </row>
    <row r="42" spans="1:19" ht="21.75" customHeight="1">
      <c r="A42" s="52"/>
      <c r="B42" s="52"/>
      <c r="C42" s="52"/>
      <c r="D42" s="52"/>
      <c r="E42" s="52"/>
      <c r="F42" s="52"/>
      <c r="G42" s="52"/>
      <c r="H42" s="52"/>
      <c r="I42" s="52"/>
      <c r="J42" s="52"/>
      <c r="K42" s="52"/>
      <c r="L42" s="52"/>
      <c r="M42" s="52"/>
      <c r="N42" s="52"/>
      <c r="O42" s="52"/>
      <c r="P42" s="52"/>
      <c r="Q42" s="52"/>
      <c r="R42" s="52"/>
      <c r="S42" s="52"/>
    </row>
    <row r="43" spans="1:19" ht="21.75" customHeight="1"/>
    <row r="44" spans="1:19">
      <c r="D44" s="13"/>
      <c r="H44" s="15"/>
    </row>
    <row r="60" spans="1:3">
      <c r="A60" s="13" t="s">
        <v>131</v>
      </c>
    </row>
    <row r="61" spans="1:3">
      <c r="A61" s="13" t="s">
        <v>23</v>
      </c>
      <c r="C61" s="13" t="s">
        <v>124</v>
      </c>
    </row>
    <row r="62" spans="1:3">
      <c r="A62" t="s">
        <v>29</v>
      </c>
      <c r="C62" s="16">
        <f>SUMIF('Sales Data'!B4:B43,"January",'Sales Data'!F4:F43)</f>
        <v>5220</v>
      </c>
    </row>
    <row r="63" spans="1:3">
      <c r="A63" t="s">
        <v>39</v>
      </c>
      <c r="C63" s="16">
        <f>SUMIF('Sales Data'!B4:B43,"February",'Sales Data'!F4:F43)</f>
        <v>16400</v>
      </c>
    </row>
    <row r="64" spans="1:3">
      <c r="A64" t="s">
        <v>49</v>
      </c>
      <c r="C64" s="16">
        <f>SUMIF('Sales Data'!B4:B43,"March",'Sales Data'!F4:F43)</f>
        <v>6140</v>
      </c>
    </row>
    <row r="65" spans="1:3">
      <c r="A65" t="s">
        <v>56</v>
      </c>
      <c r="C65" s="16">
        <f>SUMIF('Sales Data'!B4:B43,"April",'Sales Data'!F4:F43)</f>
        <v>6650</v>
      </c>
    </row>
    <row r="66" spans="1:3">
      <c r="A66" t="s">
        <v>62</v>
      </c>
      <c r="C66" s="16">
        <f>SUMIF('Sales Data'!B4:B43,"May",'Sales Data'!F4:F43)</f>
        <v>30300</v>
      </c>
    </row>
    <row r="67" spans="1:3">
      <c r="A67" t="s">
        <v>71</v>
      </c>
      <c r="C67" s="16">
        <f>SUMIF('Sales Data'!B4:B43,"June",'Sales Data'!F4:F43)</f>
        <v>6450</v>
      </c>
    </row>
    <row r="68" spans="1:3">
      <c r="A68" t="s">
        <v>78</v>
      </c>
      <c r="C68" s="16">
        <f>SUMIF('Sales Data'!B4:B43,"July",'Sales Data'!F4:F43)</f>
        <v>5630</v>
      </c>
    </row>
    <row r="69" spans="1:3">
      <c r="A69" t="s">
        <v>85</v>
      </c>
      <c r="C69" s="16">
        <f>SUMIF('Sales Data'!B4:B43,"August",'Sales Data'!F4:F43)</f>
        <v>5200</v>
      </c>
    </row>
    <row r="70" spans="1:3">
      <c r="A70" t="s">
        <v>92</v>
      </c>
      <c r="C70" s="16">
        <f>SUMIF('Sales Data'!B4:B43,"September",'Sales Data'!F4:F43)</f>
        <v>5700</v>
      </c>
    </row>
    <row r="71" spans="1:3">
      <c r="A71" t="s">
        <v>99</v>
      </c>
      <c r="C71" s="16">
        <f>SUMIF('Sales Data'!B4:B43,"October",'Sales Data'!F4:F43)</f>
        <v>9000</v>
      </c>
    </row>
    <row r="72" spans="1:3">
      <c r="A72" t="s">
        <v>106</v>
      </c>
      <c r="C72" s="16">
        <f>SUMIF('Sales Data'!B4:B43,"November",'Sales Data'!F4:F43)</f>
        <v>7600</v>
      </c>
    </row>
    <row r="73" spans="1:3">
      <c r="A73" t="s">
        <v>111</v>
      </c>
      <c r="C73" s="16">
        <f>SUMIF('Sales Data'!B4:B43,"December",'Sales Data'!F4:F43)</f>
        <v>21500</v>
      </c>
    </row>
  </sheetData>
  <mergeCells count="15">
    <mergeCell ref="A1:S1"/>
    <mergeCell ref="P6:S6"/>
    <mergeCell ref="P7:S8"/>
    <mergeCell ref="A28:S28"/>
    <mergeCell ref="A36:S42"/>
    <mergeCell ref="A35:S35"/>
    <mergeCell ref="K6:N6"/>
    <mergeCell ref="K7:N8"/>
    <mergeCell ref="K9:N9"/>
    <mergeCell ref="A11:S11"/>
    <mergeCell ref="A6:D6"/>
    <mergeCell ref="A7:D8"/>
    <mergeCell ref="F6:I6"/>
    <mergeCell ref="F7:I8"/>
    <mergeCell ref="A4:S4"/>
  </mergeCells>
  <phoneticPr fontId="16" type="noConversion"/>
  <conditionalFormatting sqref="B30:B33">
    <cfRule type="colorScale" priority="3">
      <colorScale>
        <cfvo type="min"/>
        <cfvo type="max"/>
        <color rgb="FFFFEF9C"/>
        <color rgb="FF63BE7B"/>
      </colorScale>
    </cfRule>
    <cfRule type="dataBar" priority="4">
      <dataBar>
        <cfvo type="min"/>
        <cfvo type="max"/>
        <color rgb="FF63C384"/>
      </dataBar>
      <extLst>
        <ext xmlns:x14="http://schemas.microsoft.com/office/spreadsheetml/2009/9/main" uri="{B025F937-C7B1-47D3-B67F-A62EFF666E3E}">
          <x14:id>{FD6DF058-8ED0-4A2E-AE7B-1E455E665066}</x14:id>
        </ext>
      </extLst>
    </cfRule>
  </conditionalFormatting>
  <conditionalFormatting sqref="F31:S32">
    <cfRule type="dataBar" priority="6">
      <dataBar>
        <cfvo type="min"/>
        <cfvo type="max"/>
        <color rgb="FF63C384"/>
      </dataBar>
      <extLst>
        <ext xmlns:x14="http://schemas.microsoft.com/office/spreadsheetml/2009/9/main" uri="{B025F937-C7B1-47D3-B67F-A62EFF666E3E}">
          <x14:id>{4C4444A8-F061-4C8B-BCD6-AED396D18EF1}</x14:id>
        </ext>
      </extLst>
    </cfRule>
    <cfRule type="colorScale" priority="1">
      <colorScale>
        <cfvo type="min"/>
        <cfvo type="max"/>
        <color rgb="FFFFEF9C"/>
        <color rgb="FF63BE7B"/>
      </colorScale>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FD6DF058-8ED0-4A2E-AE7B-1E455E665066}">
            <x14:dataBar minLength="0" maxLength="100" border="1" negativeBarBorderColorSameAsPositive="0">
              <x14:cfvo type="autoMin"/>
              <x14:cfvo type="autoMax"/>
              <x14:borderColor rgb="FF63C384"/>
              <x14:negativeFillColor rgb="FFFF0000"/>
              <x14:negativeBorderColor rgb="FFFF0000"/>
              <x14:axisColor rgb="FF000000"/>
            </x14:dataBar>
          </x14:cfRule>
          <xm:sqref>B30:B33</xm:sqref>
        </x14:conditionalFormatting>
        <x14:conditionalFormatting xmlns:xm="http://schemas.microsoft.com/office/excel/2006/main">
          <x14:cfRule type="dataBar" id="{4C4444A8-F061-4C8B-BCD6-AED396D18EF1}">
            <x14:dataBar minLength="0" maxLength="100" border="1" negativeBarBorderColorSameAsPositive="0">
              <x14:cfvo type="autoMin"/>
              <x14:cfvo type="autoMax"/>
              <x14:borderColor rgb="FF63C384"/>
              <x14:negativeFillColor rgb="FFFF0000"/>
              <x14:negativeBorderColor rgb="FFFF0000"/>
              <x14:axisColor rgb="FF000000"/>
            </x14:dataBar>
          </x14:cfRule>
          <xm:sqref>F31:S32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Acoba, Rey P.</cp:lastModifiedBy>
  <dcterms:created xsi:type="dcterms:W3CDTF">2026-05-18T23:48:56Z</dcterms:created>
  <dcterms:modified xsi:type="dcterms:W3CDTF">2026-05-19T07:22:52Z</dcterms:modified>
</cp:coreProperties>
</file>